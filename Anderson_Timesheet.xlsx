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e9a6ebd02b051/Documents/CIVE 202/Project ^N3/"/>
    </mc:Choice>
  </mc:AlternateContent>
  <xr:revisionPtr revIDLastSave="55" documentId="8_{07C6629F-4D06-4A47-9E21-990F88F282D8}" xr6:coauthVersionLast="47" xr6:coauthVersionMax="47" xr10:uidLastSave="{9DE252FF-EF75-46A4-83A6-9FD20189FF77}"/>
  <bookViews>
    <workbookView xWindow="-108" yWindow="-108" windowWidth="23256" windowHeight="13896" xr2:uid="{5BF73948-D495-426F-A054-7AF645EF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2" i="1"/>
  <c r="O20" i="1"/>
  <c r="O22" i="1" s="1"/>
  <c r="O26" i="1" l="1"/>
</calcChain>
</file>

<file path=xl/sharedStrings.xml><?xml version="1.0" encoding="utf-8"?>
<sst xmlns="http://schemas.openxmlformats.org/spreadsheetml/2006/main" count="50" uniqueCount="35">
  <si>
    <t xml:space="preserve">Phase Number </t>
  </si>
  <si>
    <t>Monday</t>
  </si>
  <si>
    <t>Tuesday</t>
  </si>
  <si>
    <t>Wednesday</t>
  </si>
  <si>
    <t>Thursday</t>
  </si>
  <si>
    <t>Friday</t>
  </si>
  <si>
    <t>Saturday</t>
  </si>
  <si>
    <t>GitHUB</t>
  </si>
  <si>
    <t>Coding</t>
  </si>
  <si>
    <t>Annotated code document</t>
  </si>
  <si>
    <t>SOW</t>
  </si>
  <si>
    <t>Ganatt Chart</t>
  </si>
  <si>
    <t>Engineering Intern Week: March 23rd through 29th</t>
  </si>
  <si>
    <t>Engineering Intern Week: March 30th through March 31st</t>
  </si>
  <si>
    <t>Sunday</t>
  </si>
  <si>
    <t>Total hours for the week</t>
  </si>
  <si>
    <t>Hourly rate</t>
  </si>
  <si>
    <t>Total bill for work</t>
  </si>
  <si>
    <t>Timesheet</t>
  </si>
  <si>
    <t>submital</t>
  </si>
  <si>
    <t>Written Report</t>
  </si>
  <si>
    <t>Total for each day</t>
  </si>
  <si>
    <t xml:space="preserve">Total billage for the project </t>
  </si>
  <si>
    <t>Class: CIVE 202</t>
  </si>
  <si>
    <t>Instructor: Dr.Lane</t>
  </si>
  <si>
    <t>Employee: Ryder Anderson</t>
  </si>
  <si>
    <t>Tasks</t>
  </si>
  <si>
    <t>Tasks completed each day</t>
  </si>
  <si>
    <t>Created Github and readme</t>
  </si>
  <si>
    <t>Created base code, did annotated code documentcompleted scope of work</t>
  </si>
  <si>
    <t>Did base scope of work</t>
  </si>
  <si>
    <t>Updated/made pretty the code documents</t>
  </si>
  <si>
    <t>updated github files, and touched up scope of work</t>
  </si>
  <si>
    <t>Wrote entire written report, and did time sheet</t>
  </si>
  <si>
    <t>updated GitHub files and submitted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</si>
</sst>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44" fontId="3" fillId="0" borderId="0" xfId="1" applyFont="1"/>
    <xf numFmtId="44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CE6F1-81FE-4176-AD07-C5CD3D88FB78}" name="Table1" displayName="Table1" ref="C10:K17" totalsRowShown="0">
  <autoFilter ref="C10:K17" xr:uid="{68BCE6F1-81FE-4176-AD07-C5CD3D88FB78}"/>
  <tableColumns count="9">
    <tableColumn id="1" xr3:uid="{0D343F1D-6DE6-4241-BD03-632E2F5626DC}" name="Phase Number "/>
    <tableColumn id="2" xr3:uid="{39DAC1A0-1CDD-4351-A2F2-3FD00ADE43A1}" name="Tasks"/>
    <tableColumn id="3" xr3:uid="{F9F96580-AE28-4438-9BEC-AAA57AA1D9F8}" name="Monday"/>
    <tableColumn id="4" xr3:uid="{C205E90B-D41C-4047-A035-86E79806F60C}" name="Tuesday"/>
    <tableColumn id="5" xr3:uid="{18D73E53-5703-4F56-A298-D8030A367FCA}" name="Wednesday"/>
    <tableColumn id="6" xr3:uid="{F1859E9E-D45F-4D76-9254-AA9462DDC5B8}" name="Thursday"/>
    <tableColumn id="7" xr3:uid="{1E74C672-BB6B-4E6E-8124-D77A1E790E87}" name="Friday"/>
    <tableColumn id="8" xr3:uid="{B79C1014-35DD-47D3-BDE8-F5DA1CBAD5FE}" name="Saturday"/>
    <tableColumn id="9" xr3:uid="{C77CA944-1E91-460B-A607-263E46A003E6}" name="Sunda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474F7-CE55-4D38-A66D-AA077EC8F2B7}" name="Table13" displayName="Table13" ref="C26:K32" totalsRowShown="0">
  <autoFilter ref="C26:K32" xr:uid="{8B2474F7-CE55-4D38-A66D-AA077EC8F2B7}"/>
  <tableColumns count="9">
    <tableColumn id="1" xr3:uid="{29BAB7FD-01F3-46C1-AF55-4CBD938B5447}" name="Phase Number "/>
    <tableColumn id="2" xr3:uid="{9AF5304F-9732-411D-90B1-9C7B2C3D7396}" name="Tasks"/>
    <tableColumn id="3" xr3:uid="{53EE44AB-2168-4C8B-B73B-54147F763EBF}" name="Monday"/>
    <tableColumn id="4" xr3:uid="{CFD98F91-46DA-407F-887C-CCF0B7BE8919}" name="Tuesday"/>
    <tableColumn id="5" xr3:uid="{A17A3340-955F-4BED-BC31-047618F0486F}" name="Wednesday"/>
    <tableColumn id="6" xr3:uid="{EDDA5D3B-AA0D-4084-B21C-873B7A0A57EF}" name="Thursday"/>
    <tableColumn id="7" xr3:uid="{6CCC5C4F-84DA-4EA7-810B-5C90A8D4A898}" name="Friday"/>
    <tableColumn id="8" xr3:uid="{3153A58C-ACE2-4E00-AA8C-04C22555A071}" name="Saturday"/>
    <tableColumn id="9" xr3:uid="{B0ADE794-615C-48FD-853C-CC19258DEE0F}" name="Sun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6296-BE8F-4703-BEBA-E647479C36B3}">
  <dimension ref="C2:O32"/>
  <sheetViews>
    <sheetView tabSelected="1" topLeftCell="F6" zoomScale="80" workbookViewId="0">
      <selection activeCell="H21" sqref="H21"/>
    </sheetView>
  </sheetViews>
  <sheetFormatPr defaultRowHeight="14.4" x14ac:dyDescent="0.3"/>
  <cols>
    <col min="3" max="3" width="10.88671875" customWidth="1"/>
    <col min="4" max="4" width="23.77734375" bestFit="1" customWidth="1"/>
    <col min="5" max="5" width="40.6640625" bestFit="1" customWidth="1"/>
    <col min="6" max="6" width="66.33203125" bestFit="1" customWidth="1"/>
    <col min="7" max="7" width="21.109375" bestFit="1" customWidth="1"/>
    <col min="8" max="8" width="37.44140625" bestFit="1" customWidth="1"/>
    <col min="9" max="9" width="45.6640625" bestFit="1" customWidth="1"/>
    <col min="10" max="11" width="10.88671875" customWidth="1"/>
    <col min="14" max="14" width="24.5546875" bestFit="1" customWidth="1"/>
  </cols>
  <sheetData>
    <row r="2" spans="3:15" x14ac:dyDescent="0.3">
      <c r="D2" t="s">
        <v>23</v>
      </c>
    </row>
    <row r="3" spans="3:15" x14ac:dyDescent="0.3">
      <c r="D3" t="s">
        <v>24</v>
      </c>
    </row>
    <row r="4" spans="3:15" x14ac:dyDescent="0.3">
      <c r="D4" t="s">
        <v>25</v>
      </c>
    </row>
    <row r="7" spans="3:15" ht="25.8" x14ac:dyDescent="0.5">
      <c r="F7" s="1" t="s">
        <v>12</v>
      </c>
    </row>
    <row r="10" spans="3:15" x14ac:dyDescent="0.3">
      <c r="C10" t="s">
        <v>0</v>
      </c>
      <c r="D10" t="s">
        <v>26</v>
      </c>
      <c r="E10" t="s">
        <v>1</v>
      </c>
      <c r="F10" t="s">
        <v>2</v>
      </c>
      <c r="G10" t="s">
        <v>3</v>
      </c>
      <c r="H10" t="s">
        <v>4</v>
      </c>
      <c r="I10" t="s">
        <v>5</v>
      </c>
      <c r="J10" t="s">
        <v>6</v>
      </c>
      <c r="K10" t="s">
        <v>14</v>
      </c>
      <c r="N10" s="2" t="s">
        <v>15</v>
      </c>
      <c r="O10" s="2">
        <f>SUM(E11:I15)</f>
        <v>9</v>
      </c>
    </row>
    <row r="11" spans="3:15" x14ac:dyDescent="0.3">
      <c r="C11">
        <v>3</v>
      </c>
      <c r="D11" t="s">
        <v>7</v>
      </c>
      <c r="E11">
        <v>1</v>
      </c>
      <c r="I11">
        <v>0.5</v>
      </c>
      <c r="N11" s="2" t="s">
        <v>16</v>
      </c>
      <c r="O11" s="3">
        <v>25</v>
      </c>
    </row>
    <row r="12" spans="3:15" x14ac:dyDescent="0.3">
      <c r="C12">
        <v>3</v>
      </c>
      <c r="D12" t="s">
        <v>8</v>
      </c>
      <c r="F12">
        <v>2.5</v>
      </c>
      <c r="H12">
        <v>0.5</v>
      </c>
      <c r="N12" s="2" t="s">
        <v>17</v>
      </c>
      <c r="O12" s="3">
        <f>(O10*O11)</f>
        <v>225</v>
      </c>
    </row>
    <row r="13" spans="3:15" x14ac:dyDescent="0.3">
      <c r="C13">
        <v>3</v>
      </c>
      <c r="D13" t="s">
        <v>9</v>
      </c>
      <c r="F13">
        <v>1</v>
      </c>
      <c r="H13">
        <v>0.5</v>
      </c>
      <c r="N13" s="2"/>
      <c r="O13" s="2"/>
    </row>
    <row r="14" spans="3:15" x14ac:dyDescent="0.3">
      <c r="C14">
        <v>3</v>
      </c>
      <c r="D14" t="s">
        <v>10</v>
      </c>
      <c r="G14">
        <v>1.5</v>
      </c>
      <c r="I14">
        <v>0.5</v>
      </c>
      <c r="N14" s="2"/>
      <c r="O14" s="2"/>
    </row>
    <row r="15" spans="3:15" x14ac:dyDescent="0.3">
      <c r="C15">
        <v>3</v>
      </c>
      <c r="D15" t="s">
        <v>11</v>
      </c>
      <c r="F15">
        <v>1</v>
      </c>
      <c r="N15" s="2"/>
      <c r="O15" s="2"/>
    </row>
    <row r="16" spans="3:15" x14ac:dyDescent="0.3">
      <c r="D16" t="s">
        <v>21</v>
      </c>
      <c r="E16">
        <v>1</v>
      </c>
      <c r="F16">
        <v>4.5</v>
      </c>
      <c r="G16">
        <v>1.5</v>
      </c>
      <c r="H16">
        <v>1</v>
      </c>
      <c r="I16">
        <v>1</v>
      </c>
      <c r="N16" s="2"/>
      <c r="O16" s="2"/>
    </row>
    <row r="17" spans="3:15" x14ac:dyDescent="0.3"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 t="s">
        <v>32</v>
      </c>
      <c r="N17" s="2"/>
      <c r="O17" s="2"/>
    </row>
    <row r="18" spans="3:15" x14ac:dyDescent="0.3">
      <c r="N18" s="2"/>
      <c r="O18" s="2"/>
    </row>
    <row r="19" spans="3:15" x14ac:dyDescent="0.3">
      <c r="N19" s="2"/>
      <c r="O19" s="2"/>
    </row>
    <row r="20" spans="3:15" x14ac:dyDescent="0.3">
      <c r="N20" s="2" t="s">
        <v>15</v>
      </c>
      <c r="O20" s="2">
        <f>SUM(E27:F30)</f>
        <v>7</v>
      </c>
    </row>
    <row r="21" spans="3:15" x14ac:dyDescent="0.3">
      <c r="N21" s="2" t="s">
        <v>16</v>
      </c>
      <c r="O21" s="3">
        <v>25</v>
      </c>
    </row>
    <row r="22" spans="3:15" x14ac:dyDescent="0.3">
      <c r="N22" s="2" t="s">
        <v>17</v>
      </c>
      <c r="O22" s="3">
        <f>(O20*O21)</f>
        <v>175</v>
      </c>
    </row>
    <row r="23" spans="3:15" x14ac:dyDescent="0.3">
      <c r="N23" s="2"/>
      <c r="O23" s="2"/>
    </row>
    <row r="24" spans="3:15" ht="25.8" x14ac:dyDescent="0.5">
      <c r="F24" s="1" t="s">
        <v>13</v>
      </c>
      <c r="N24" s="2"/>
      <c r="O24" s="2"/>
    </row>
    <row r="25" spans="3:15" x14ac:dyDescent="0.3">
      <c r="N25" s="2"/>
      <c r="O25" s="2"/>
    </row>
    <row r="26" spans="3:15" x14ac:dyDescent="0.3">
      <c r="C26" t="s">
        <v>0</v>
      </c>
      <c r="D26" t="s">
        <v>26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6</v>
      </c>
      <c r="K26" t="s">
        <v>14</v>
      </c>
      <c r="N26" s="2" t="s">
        <v>22</v>
      </c>
      <c r="O26" s="4">
        <f>(O12+O22)</f>
        <v>400</v>
      </c>
    </row>
    <row r="27" spans="3:15" x14ac:dyDescent="0.3">
      <c r="C27">
        <v>3</v>
      </c>
      <c r="D27" t="s">
        <v>7</v>
      </c>
      <c r="F27">
        <v>0.5</v>
      </c>
    </row>
    <row r="28" spans="3:15" x14ac:dyDescent="0.3">
      <c r="C28">
        <v>3</v>
      </c>
      <c r="D28" t="s">
        <v>20</v>
      </c>
      <c r="E28">
        <v>5</v>
      </c>
    </row>
    <row r="29" spans="3:15" x14ac:dyDescent="0.3">
      <c r="C29">
        <v>3</v>
      </c>
      <c r="D29" t="s">
        <v>18</v>
      </c>
      <c r="E29">
        <v>1</v>
      </c>
    </row>
    <row r="30" spans="3:15" x14ac:dyDescent="0.3">
      <c r="C30">
        <v>3</v>
      </c>
      <c r="D30" t="s">
        <v>19</v>
      </c>
      <c r="F30">
        <v>0.5</v>
      </c>
    </row>
    <row r="31" spans="3:15" x14ac:dyDescent="0.3">
      <c r="D31" t="s">
        <v>21</v>
      </c>
      <c r="E31">
        <v>6</v>
      </c>
      <c r="F31">
        <v>1</v>
      </c>
    </row>
    <row r="32" spans="3:15" x14ac:dyDescent="0.3">
      <c r="D32" t="s">
        <v>27</v>
      </c>
      <c r="E32" t="s">
        <v>33</v>
      </c>
      <c r="F32" t="s">
        <v>34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 Anderson</dc:creator>
  <cp:lastModifiedBy>Ryder Anderson</cp:lastModifiedBy>
  <dcterms:created xsi:type="dcterms:W3CDTF">2026-03-31T01:53:52Z</dcterms:created>
  <dcterms:modified xsi:type="dcterms:W3CDTF">2026-03-31T02:54:05Z</dcterms:modified>
</cp:coreProperties>
</file>